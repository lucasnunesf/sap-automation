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<sst xmlns="http://schemas.openxmlformats.org/spreadsheetml/2006/main" count="98" uniqueCount="45">
  <si>
    <t xml:space="preserve">Supplier ID</t>
  </si>
  <si>
    <t xml:space="preserve">Supplier</t>
  </si>
  <si>
    <t xml:space="preserve">Project</t>
  </si>
  <si>
    <t xml:space="preserve">Item Code</t>
  </si>
  <si>
    <t xml:space="preserve">Item Description</t>
  </si>
  <si>
    <t xml:space="preserve">Category</t>
  </si>
  <si>
    <t xml:space="preserve">Currency</t>
  </si>
  <si>
    <t xml:space="preserve">Incoterm</t>
  </si>
  <si>
    <t xml:space="preserve">Lead Time (days)</t>
  </si>
  <si>
    <t xml:space="preserve">Quantity</t>
  </si>
  <si>
    <t xml:space="preserve">Unit Price</t>
  </si>
  <si>
    <t xml:space="preserve">Net Amount</t>
  </si>
  <si>
    <t xml:space="preserve">IPI Rate (%)</t>
  </si>
  <si>
    <t xml:space="preserve">ICMS Rate (%)</t>
  </si>
  <si>
    <t xml:space="preserve">PIS/COFINS Rate (%)</t>
  </si>
  <si>
    <t xml:space="preserve">ISS Rate (%)</t>
  </si>
  <si>
    <t xml:space="preserve">Gross Amount</t>
  </si>
  <si>
    <t xml:space="preserve">SUP-10045</t>
  </si>
  <si>
    <t xml:space="preserve">Supplier 2</t>
  </si>
  <si>
    <t xml:space="preserve">F21C</t>
  </si>
  <si>
    <t xml:space="preserve">PT-4410-01</t>
  </si>
  <si>
    <t xml:space="preserve">Injection mould cavity insert</t>
  </si>
  <si>
    <t xml:space="preserve">Material</t>
  </si>
  <si>
    <t xml:space="preserve">BRL</t>
  </si>
  <si>
    <t xml:space="preserve">DAP</t>
  </si>
  <si>
    <t xml:space="preserve">PT-4410-02</t>
  </si>
  <si>
    <t xml:space="preserve">Ejector pin set, hardened</t>
  </si>
  <si>
    <t xml:space="preserve">PT-SRV-880</t>
  </si>
  <si>
    <t xml:space="preserve">Mould commissioning on site</t>
  </si>
  <si>
    <t xml:space="preserve">Service</t>
  </si>
  <si>
    <t xml:space="preserve">PT-4411-07</t>
  </si>
  <si>
    <t xml:space="preserve">Guide bushing, bronze</t>
  </si>
  <si>
    <t xml:space="preserve">PT-SRV-881</t>
  </si>
  <si>
    <t xml:space="preserve">Operator training, 2 sessions</t>
  </si>
  <si>
    <t xml:space="preserve">PT-4415-03</t>
  </si>
  <si>
    <t xml:space="preserve">Cooling channel manifold</t>
  </si>
  <si>
    <t xml:space="preserve">PT-4418-09</t>
  </si>
  <si>
    <t xml:space="preserve">Hot runner nozzle, 12mm</t>
  </si>
  <si>
    <t xml:space="preserve">PT-SRV-885</t>
  </si>
  <si>
    <t xml:space="preserve">Annual preventive maintenance</t>
  </si>
  <si>
    <t xml:space="preserve">PT-4420-11</t>
  </si>
  <si>
    <t xml:space="preserve">Wear plate, tool steel</t>
  </si>
  <si>
    <t xml:space="preserve">PT-4422-02</t>
  </si>
  <si>
    <t xml:space="preserve">Locating ring, standard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</si>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</sst>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7"/>
    <col collapsed="false" customWidth="true" hidden="false" outlineLevel="0" max="16" min="16" style="0" width="11"/>
    <col collapsed="false" customWidth="true" hidden="false" outlineLevel="0" max="17" min="17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3" t="n">
        <v>60</v>
      </c>
      <c r="J2" s="3" t="n">
        <v>4</v>
      </c>
      <c r="K2" s="4" t="n">
        <v>18500</v>
      </c>
      <c r="L2" s="4" t="n">
        <f aca="false">J2*K2</f>
        <v>74000</v>
      </c>
      <c r="M2" s="5" t="n">
        <v>5</v>
      </c>
      <c r="N2" s="5" t="n">
        <v>18</v>
      </c>
      <c r="O2" s="5" t="n">
        <v>9.25</v>
      </c>
      <c r="P2" s="5" t="n">
        <v>0</v>
      </c>
      <c r="Q2" s="4" t="n">
        <f aca="false">L2*(1+M2/100+N2/100+O2/100+P2/100)</f>
        <v>97865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25</v>
      </c>
      <c r="E3" s="2" t="s">
        <v>26</v>
      </c>
      <c r="F3" s="2" t="s">
        <v>22</v>
      </c>
      <c r="G3" s="2" t="s">
        <v>23</v>
      </c>
      <c r="H3" s="2" t="s">
        <v>24</v>
      </c>
      <c r="I3" s="3" t="n">
        <v>45</v>
      </c>
      <c r="J3" s="3" t="n">
        <v>24</v>
      </c>
      <c r="K3" s="4" t="n">
        <v>420.5</v>
      </c>
      <c r="L3" s="4" t="n">
        <f aca="false">J3*K3</f>
        <v>10092</v>
      </c>
      <c r="M3" s="5" t="n">
        <v>5</v>
      </c>
      <c r="N3" s="5" t="n">
        <v>18</v>
      </c>
      <c r="O3" s="5" t="n">
        <v>9.25</v>
      </c>
      <c r="P3" s="5" t="n">
        <v>0</v>
      </c>
      <c r="Q3" s="4" t="n">
        <f aca="false">L3*(1+M3/100+N3/100+O3/100+P3/100)</f>
        <v>13346.67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27</v>
      </c>
      <c r="E4" s="2" t="s">
        <v>28</v>
      </c>
      <c r="F4" s="2" t="s">
        <v>29</v>
      </c>
      <c r="G4" s="2" t="s">
        <v>23</v>
      </c>
      <c r="H4" s="2" t="s">
        <v>24</v>
      </c>
      <c r="I4" s="3" t="n">
        <v>15</v>
      </c>
      <c r="J4" s="3" t="n">
        <v>1</v>
      </c>
      <c r="K4" s="4" t="n">
        <v>12000</v>
      </c>
      <c r="L4" s="4" t="n">
        <f aca="false">J4*K4</f>
        <v>12000</v>
      </c>
      <c r="M4" s="5" t="n">
        <v>0</v>
      </c>
      <c r="N4" s="5" t="n">
        <v>0</v>
      </c>
      <c r="O4" s="5" t="n">
        <v>9.25</v>
      </c>
      <c r="P4" s="5" t="n">
        <v>5</v>
      </c>
      <c r="Q4" s="4" t="n">
        <f aca="false">L4*(1+M4/100+N4/100+O4/100+P4/100)</f>
        <v>13710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19</v>
      </c>
      <c r="D5" s="2" t="s">
        <v>30</v>
      </c>
      <c r="E5" s="2" t="s">
        <v>31</v>
      </c>
      <c r="F5" s="2" t="s">
        <v>22</v>
      </c>
      <c r="G5" s="2" t="s">
        <v>23</v>
      </c>
      <c r="H5" s="2" t="s">
        <v>24</v>
      </c>
      <c r="I5" s="3" t="n">
        <v>30</v>
      </c>
      <c r="J5" s="3" t="n">
        <v>60</v>
      </c>
      <c r="K5" s="4" t="n">
        <v>185</v>
      </c>
      <c r="L5" s="4" t="n">
        <f aca="false">J5*K5</f>
        <v>11100</v>
      </c>
      <c r="M5" s="5" t="n">
        <v>5</v>
      </c>
      <c r="N5" s="5" t="n">
        <v>12</v>
      </c>
      <c r="O5" s="5" t="n">
        <v>9.25</v>
      </c>
      <c r="P5" s="5" t="n">
        <v>0</v>
      </c>
      <c r="Q5" s="4" t="n">
        <f aca="false">L5*(1+M5/100+N5/100+O5/100+P5/100)</f>
        <v>14013.75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32</v>
      </c>
      <c r="E6" s="2" t="s">
        <v>33</v>
      </c>
      <c r="F6" s="2" t="s">
        <v>29</v>
      </c>
      <c r="G6" s="2" t="s">
        <v>23</v>
      </c>
      <c r="H6" s="2" t="s">
        <v>24</v>
      </c>
      <c r="I6" s="3" t="n">
        <v>20</v>
      </c>
      <c r="J6" s="3" t="n">
        <v>2</v>
      </c>
      <c r="K6" s="4" t="n">
        <v>4800</v>
      </c>
      <c r="L6" s="4" t="n">
        <f aca="false">J6*K6</f>
        <v>9600</v>
      </c>
      <c r="M6" s="5" t="n">
        <v>0</v>
      </c>
      <c r="N6" s="5" t="n">
        <v>0</v>
      </c>
      <c r="O6" s="5" t="n">
        <v>9.25</v>
      </c>
      <c r="P6" s="5" t="n">
        <v>5</v>
      </c>
      <c r="Q6" s="4" t="n">
        <f aca="false">L6*(1+M6/100+N6/100+O6/100+P6/100)</f>
        <v>10968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s">
        <v>19</v>
      </c>
      <c r="D7" s="2" t="s">
        <v>34</v>
      </c>
      <c r="E7" s="2" t="s">
        <v>35</v>
      </c>
      <c r="F7" s="2" t="s">
        <v>22</v>
      </c>
      <c r="G7" s="2" t="s">
        <v>23</v>
      </c>
      <c r="H7" s="2" t="s">
        <v>24</v>
      </c>
      <c r="I7" s="3" t="n">
        <v>50</v>
      </c>
      <c r="J7" s="3" t="n">
        <v>8</v>
      </c>
      <c r="K7" s="4" t="n">
        <v>2340</v>
      </c>
      <c r="L7" s="4" t="n">
        <f aca="false">J7*K7</f>
        <v>18720</v>
      </c>
      <c r="M7" s="5" t="n">
        <v>10</v>
      </c>
      <c r="N7" s="5" t="n">
        <v>18</v>
      </c>
      <c r="O7" s="5" t="n">
        <v>9.25</v>
      </c>
      <c r="P7" s="5" t="n">
        <v>0</v>
      </c>
      <c r="Q7" s="4" t="n">
        <f aca="false">L7*(1+M7/100+N7/100+O7/100+P7/100)</f>
        <v>25693.2</v>
      </c>
    </row>
    <row r="8" customFormat="false" ht="15" hidden="false" customHeight="false" outlineLevel="0" collapsed="false">
      <c r="A8" s="2" t="s">
        <v>17</v>
      </c>
      <c r="B8" s="2" t="s">
        <v>18</v>
      </c>
      <c r="C8" s="2" t="s">
        <v>19</v>
      </c>
      <c r="D8" s="2" t="s">
        <v>36</v>
      </c>
      <c r="E8" s="2" t="s">
        <v>37</v>
      </c>
      <c r="F8" s="2" t="s">
        <v>22</v>
      </c>
      <c r="G8" s="2" t="s">
        <v>23</v>
      </c>
      <c r="H8" s="2" t="s">
        <v>24</v>
      </c>
      <c r="I8" s="3" t="n">
        <v>55</v>
      </c>
      <c r="J8" s="3" t="n">
        <v>12</v>
      </c>
      <c r="K8" s="4" t="n">
        <v>1975.25</v>
      </c>
      <c r="L8" s="4" t="n">
        <f aca="false">J8*K8</f>
        <v>23703</v>
      </c>
      <c r="M8" s="5" t="n">
        <v>5</v>
      </c>
      <c r="N8" s="5" t="n">
        <v>18</v>
      </c>
      <c r="O8" s="5" t="n">
        <v>9.25</v>
      </c>
      <c r="P8" s="5" t="n">
        <v>0</v>
      </c>
      <c r="Q8" s="4" t="n">
        <f aca="false">L8*(1+M8/100+N8/100+O8/100+P8/100)</f>
        <v>31347.2175</v>
      </c>
    </row>
    <row r="9" customFormat="false" ht="15" hidden="false" customHeight="false" outlineLevel="0" collapsed="false">
      <c r="A9" s="2" t="s">
        <v>17</v>
      </c>
      <c r="B9" s="2" t="s">
        <v>18</v>
      </c>
      <c r="C9" s="2" t="s">
        <v>19</v>
      </c>
      <c r="D9" s="2" t="s">
        <v>38</v>
      </c>
      <c r="E9" s="2" t="s">
        <v>39</v>
      </c>
      <c r="F9" s="2" t="s">
        <v>29</v>
      </c>
      <c r="G9" s="2" t="s">
        <v>23</v>
      </c>
      <c r="H9" s="2" t="s">
        <v>24</v>
      </c>
      <c r="I9" s="3" t="n">
        <v>10</v>
      </c>
      <c r="J9" s="3" t="n">
        <v>1</v>
      </c>
      <c r="K9" s="4" t="n">
        <v>9600</v>
      </c>
      <c r="L9" s="4" t="n">
        <f aca="false">J9*K9</f>
        <v>9600</v>
      </c>
      <c r="M9" s="5" t="n">
        <v>0</v>
      </c>
      <c r="N9" s="5" t="n">
        <v>0</v>
      </c>
      <c r="O9" s="5" t="n">
        <v>9.25</v>
      </c>
      <c r="P9" s="5" t="n">
        <v>5</v>
      </c>
      <c r="Q9" s="4" t="n">
        <f aca="false">L9*(1+M9/100+N9/100+O9/100+P9/100)</f>
        <v>10968</v>
      </c>
    </row>
    <row r="10" customFormat="false" ht="15" hidden="false" customHeight="false" outlineLevel="0" collapsed="false">
      <c r="A10" s="2" t="s">
        <v>17</v>
      </c>
      <c r="B10" s="2" t="s">
        <v>18</v>
      </c>
      <c r="C10" s="2" t="s">
        <v>19</v>
      </c>
      <c r="D10" s="2" t="s">
        <v>40</v>
      </c>
      <c r="E10" s="2" t="s">
        <v>41</v>
      </c>
      <c r="F10" s="2" t="s">
        <v>22</v>
      </c>
      <c r="G10" s="2" t="s">
        <v>23</v>
      </c>
      <c r="H10" s="2" t="s">
        <v>24</v>
      </c>
      <c r="I10" s="3" t="n">
        <v>35</v>
      </c>
      <c r="J10" s="3" t="n">
        <v>16</v>
      </c>
      <c r="K10" s="4" t="n">
        <v>760</v>
      </c>
      <c r="L10" s="4" t="n">
        <f aca="false">J10*K10</f>
        <v>12160</v>
      </c>
      <c r="M10" s="5" t="n">
        <v>5</v>
      </c>
      <c r="N10" s="5" t="n">
        <v>18</v>
      </c>
      <c r="O10" s="5" t="n">
        <v>9.25</v>
      </c>
      <c r="P10" s="5" t="n">
        <v>0</v>
      </c>
      <c r="Q10" s="4" t="n">
        <f aca="false">L10*(1+M10/100+N10/100+O10/100+P10/100)</f>
        <v>16081.6</v>
      </c>
    </row>
    <row r="11" customFormat="false" ht="15" hidden="false" customHeight="false" outlineLevel="0" collapsed="false">
      <c r="A11" s="2" t="s">
        <v>17</v>
      </c>
      <c r="B11" s="2" t="s">
        <v>18</v>
      </c>
      <c r="C11" s="2" t="s">
        <v>19</v>
      </c>
      <c r="D11" s="2" t="s">
        <v>42</v>
      </c>
      <c r="E11" s="2" t="s">
        <v>43</v>
      </c>
      <c r="F11" s="2" t="s">
        <v>22</v>
      </c>
      <c r="G11" s="2" t="s">
        <v>23</v>
      </c>
      <c r="H11" s="2" t="s">
        <v>24</v>
      </c>
      <c r="I11" s="3" t="n">
        <v>25</v>
      </c>
      <c r="J11" s="3" t="n">
        <v>40</v>
      </c>
      <c r="K11" s="4" t="n">
        <v>118.9</v>
      </c>
      <c r="L11" s="4" t="n">
        <f aca="false">J11*K11</f>
        <v>4756</v>
      </c>
      <c r="M11" s="5" t="n">
        <v>5</v>
      </c>
      <c r="N11" s="5" t="n">
        <v>12</v>
      </c>
      <c r="O11" s="5" t="n">
        <v>9.25</v>
      </c>
      <c r="P11" s="5" t="n">
        <v>0</v>
      </c>
      <c r="Q11" s="4" t="n">
        <f aca="false">L11*(1+M11/100+N11/100+O11/100+P11/100)</f>
        <v>6004.45</v>
      </c>
    </row>
    <row r="13" customFormat="false" ht="15" hidden="false" customHeight="false" outlineLevel="0" collapsed="false">
      <c r="K13" s="6" t="s">
        <v>44</v>
      </c>
      <c r="L13" s="7" t="n">
        <f aca="false">SUM(L2:L11)</f>
        <v>185731</v>
      </c>
      <c r="Q13" s="7" t="n">
        <f aca="false">SUM(Q2:Q11)</f>
        <v>239997.8875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2026-09-18T13:57:19Z</dcterms:created>
  <dc:creator>openpyxl</dc:creator>
  <dc:description/>
  <dc:language>en-US</dc:language>
  <cp:lastModifiedBy/>
  <dcterms:modified xsi:type="dcterms:W3CDTF">2026-09-18T13:57:19Z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