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<sst xmlns="http://schemas.openxmlformats.org/spreadsheetml/2006/main" count="52" uniqueCount="45">
  <si>
    <t xml:space="preserve">SUPPLIER 3</t>
  </si>
  <si>
    <t xml:space="preserve">QUOTE 4471/2024   -   CUSTOMER PROJECT: K450   -   ISSUED 04/04/2024</t>
  </si>
  <si>
    <t xml:space="preserve">SUPP CODE</t>
  </si>
  <si>
    <t xml:space="preserve">  88120  </t>
  </si>
  <si>
    <t xml:space="preserve">SUPPLIER NAME</t>
  </si>
  <si>
    <t xml:space="preserve">Supplier 3</t>
  </si>
  <si>
    <t xml:space="preserve">PROJ</t>
  </si>
  <si>
    <t xml:space="preserve">K450</t>
  </si>
  <si>
    <t xml:space="preserve">CONTACT</t>
  </si>
  <si>
    <t xml:space="preserve">sales@supplier3.example</t>
  </si>
  <si>
    <t xml:space="preserve">ITEM</t>
  </si>
  <si>
    <t xml:space="preserve">PART NUMBER</t>
  </si>
  <si>
    <t xml:space="preserve">SERVICE / MATERIAL DESCRIPTION</t>
  </si>
  <si>
    <t xml:space="preserve">MAT/SERV</t>
  </si>
  <si>
    <t xml:space="preserve">QTY</t>
  </si>
  <si>
    <t xml:space="preserve">UNIT PRICE</t>
  </si>
  <si>
    <t xml:space="preserve">TOTAL WITHOUT TAX</t>
  </si>
  <si>
    <t xml:space="preserve">IPI</t>
  </si>
  <si>
    <t xml:space="preserve">ICMS</t>
  </si>
  <si>
    <t xml:space="preserve">PIS COFINS</t>
  </si>
  <si>
    <t xml:space="preserve">ISS</t>
  </si>
  <si>
    <t xml:space="preserve">GRAND TOTAL</t>
  </si>
  <si>
    <t xml:space="preserve">MATERIALS</t>
  </si>
  <si>
    <t xml:space="preserve">VTX-3300-01 </t>
  </si>
  <si>
    <t xml:space="preserve">Steel support structure </t>
  </si>
  <si>
    <t xml:space="preserve">MAT</t>
  </si>
  <si>
    <t xml:space="preserve">VTX-3300-02</t>
  </si>
  <si>
    <t xml:space="preserve">  Aluminium access platform</t>
  </si>
  <si>
    <t xml:space="preserve">VTX-3301-05</t>
  </si>
  <si>
    <t xml:space="preserve">Galvanised handrail</t>
  </si>
  <si>
    <t xml:space="preserve">Aluminium access platform</t>
  </si>
  <si>
    <t xml:space="preserve">VTX-3305-11</t>
  </si>
  <si>
    <t xml:space="preserve">Chemical anchor kit</t>
  </si>
  <si>
    <t xml:space="preserve">SUBTOTAL MATERIALS</t>
  </si>
  <si>
    <t xml:space="preserve">SERVICES</t>
  </si>
  <si>
    <t xml:space="preserve">VTX-SRV-900</t>
  </si>
  <si>
    <t xml:space="preserve">On-site assembly and installation</t>
  </si>
  <si>
    <t xml:space="preserve">SERV</t>
  </si>
  <si>
    <t xml:space="preserve">VTX-SRV-901</t>
  </si>
  <si>
    <t xml:space="preserve">Inspection and technical report </t>
  </si>
  <si>
    <t xml:space="preserve">VTX-SRV-905</t>
  </si>
  <si>
    <t xml:space="preserve">Working-at-height safety training</t>
  </si>
  <si>
    <t xml:space="preserve">SUBTOTAL SERVICES</t>
  </si>
  <si>
    <t xml:space="preserve">QUOTE TOTAL</t>
  </si>
  <si>
    <t xml:space="preserve">Tax rates expressed as decimal fractions. Payment terms 30/60 days.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</si>
</sst>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55A11"/>
        <bgColor rgb="FF993300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4" t="s">
        <v>3</v>
      </c>
      <c r="D4" s="3" t="s">
        <v>4</v>
      </c>
      <c r="F4" s="4" t="s">
        <v>5</v>
      </c>
    </row>
    <row r="5" customFormat="false" ht="15" hidden="false" customHeight="false" outlineLevel="0" collapsed="false">
      <c r="A5" s="3" t="s">
        <v>6</v>
      </c>
      <c r="B5" s="4" t="s">
        <v>7</v>
      </c>
      <c r="D5" s="3" t="s">
        <v>8</v>
      </c>
      <c r="F5" s="4" t="s">
        <v>9</v>
      </c>
    </row>
    <row r="7" customFormat="false" ht="25.5" hidden="false" customHeight="true" outlineLevel="0" collapsed="false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  <c r="K7" s="5" t="s">
        <v>20</v>
      </c>
      <c r="L7" s="5" t="s">
        <v>21</v>
      </c>
    </row>
    <row r="8" customFormat="false" ht="15" hidden="false" customHeight="false" outlineLevel="0" collapsed="false">
      <c r="A8" s="6" t="s">
        <v>22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7" t="n">
        <v>1</v>
      </c>
      <c r="B9" s="8" t="s">
        <v>23</v>
      </c>
      <c r="C9" s="8" t="s">
        <v>24</v>
      </c>
      <c r="D9" s="7" t="s">
        <v>25</v>
      </c>
      <c r="E9" s="7" t="n">
        <v>15</v>
      </c>
      <c r="F9" s="9" t="n">
        <v>1280</v>
      </c>
      <c r="G9" s="8" t="n">
        <f aca="false">E9*F9</f>
        <v>19200</v>
      </c>
      <c r="H9" s="10" t="n">
        <v>0.05</v>
      </c>
      <c r="I9" s="10" t="n">
        <v>0.18</v>
      </c>
      <c r="J9" s="10" t="n">
        <v>0.0925</v>
      </c>
      <c r="K9" s="10" t="n">
        <v>0</v>
      </c>
      <c r="L9" s="8" t="n">
        <f aca="false">G9*(1+H9+I9+J9+K9)</f>
        <v>25392</v>
      </c>
    </row>
    <row r="10" customFormat="false" ht="15" hidden="false" customHeight="false" outlineLevel="0" collapsed="false">
      <c r="A10" s="7" t="n">
        <v>2</v>
      </c>
      <c r="B10" s="8" t="s">
        <v>26</v>
      </c>
      <c r="C10" s="8" t="s">
        <v>27</v>
      </c>
      <c r="D10" s="7" t="s">
        <v>25</v>
      </c>
      <c r="E10" s="7" t="n">
        <v>8</v>
      </c>
      <c r="F10" s="9" t="n">
        <v>3450</v>
      </c>
      <c r="G10" s="8" t="n">
        <f aca="false">E10*F10</f>
        <v>27600</v>
      </c>
      <c r="H10" s="10" t="n">
        <v>0.05</v>
      </c>
      <c r="I10" s="10" t="n">
        <v>0.18</v>
      </c>
      <c r="J10" s="10" t="n">
        <v>0.0925</v>
      </c>
      <c r="K10" s="10" t="n">
        <v>0</v>
      </c>
      <c r="L10" s="8" t="n">
        <f aca="false">G10*(1+H10+I10+J10+K10)</f>
        <v>36501</v>
      </c>
    </row>
    <row r="11" customFormat="false" ht="15" hidden="false" customHeight="false" outlineLevel="0" collapsed="false">
      <c r="A11" s="7" t="n">
        <v>3</v>
      </c>
      <c r="B11" s="8" t="s">
        <v>28</v>
      </c>
      <c r="C11" s="8" t="s">
        <v>29</v>
      </c>
      <c r="D11" s="7" t="s">
        <v>25</v>
      </c>
      <c r="E11" s="7"/>
      <c r="F11" s="9" t="n">
        <v>890</v>
      </c>
      <c r="G11" s="8" t="n">
        <f aca="false">E11*F11</f>
        <v>0</v>
      </c>
      <c r="H11" s="10" t="n">
        <v>0.05</v>
      </c>
      <c r="I11" s="10" t="n">
        <v>0.18</v>
      </c>
      <c r="J11" s="10" t="n">
        <v>0.0925</v>
      </c>
      <c r="K11" s="10" t="n">
        <v>0</v>
      </c>
      <c r="L11" s="8" t="n">
        <f aca="false">G11*(1+H11+I11+J11+K11)</f>
        <v>0</v>
      </c>
    </row>
    <row r="12" customFormat="false" ht="15" hidden="false" customHeight="false" outlineLevel="0" collapsed="false">
      <c r="A12" s="7" t="n">
        <v>4</v>
      </c>
      <c r="B12" s="8" t="s">
        <v>26</v>
      </c>
      <c r="C12" s="8" t="s">
        <v>30</v>
      </c>
      <c r="D12" s="7" t="s">
        <v>25</v>
      </c>
      <c r="E12" s="7" t="n">
        <v>8</v>
      </c>
      <c r="F12" s="9" t="n">
        <v>3450</v>
      </c>
      <c r="G12" s="8" t="n">
        <f aca="false">E12*F12</f>
        <v>27600</v>
      </c>
      <c r="H12" s="10" t="n">
        <v>0.05</v>
      </c>
      <c r="I12" s="10" t="n">
        <v>0.18</v>
      </c>
      <c r="J12" s="10" t="n">
        <v>0.0925</v>
      </c>
      <c r="K12" s="10" t="n">
        <v>0</v>
      </c>
      <c r="L12" s="8" t="n">
        <f aca="false">G12*(1+H12+I12+J12+K12)</f>
        <v>36501</v>
      </c>
    </row>
    <row r="13" customFormat="false" ht="15" hidden="false" customHeight="false" outlineLevel="0" collapsed="false">
      <c r="A13" s="7" t="n">
        <v>5</v>
      </c>
      <c r="B13" s="8" t="s">
        <v>31</v>
      </c>
      <c r="C13" s="8" t="s">
        <v>32</v>
      </c>
      <c r="D13" s="7" t="s">
        <v>25</v>
      </c>
      <c r="E13" s="7" t="n">
        <v>60</v>
      </c>
      <c r="F13" s="9" t="n">
        <v>0</v>
      </c>
      <c r="G13" s="8" t="n">
        <f aca="false">E13*F13</f>
        <v>0</v>
      </c>
      <c r="H13" s="10" t="n">
        <v>0.05</v>
      </c>
      <c r="I13" s="10" t="n">
        <v>0.12</v>
      </c>
      <c r="J13" s="10" t="n">
        <v>0.0925</v>
      </c>
      <c r="K13" s="10" t="n">
        <v>0</v>
      </c>
      <c r="L13" s="8" t="n">
        <f aca="false">G13*(1+H13+I13+J13+K13)</f>
        <v>0</v>
      </c>
    </row>
    <row r="14" customFormat="false" ht="15" hidden="false" customHeight="false" outlineLevel="0" collapsed="false">
      <c r="A14" s="11"/>
      <c r="B14" s="12"/>
      <c r="C14" s="12" t="s">
        <v>33</v>
      </c>
      <c r="D14" s="11"/>
      <c r="E14" s="11"/>
      <c r="F14" s="12"/>
      <c r="G14" s="12" t="n">
        <f aca="false">SUM(G9:G13)</f>
        <v>74400</v>
      </c>
      <c r="H14" s="12"/>
      <c r="I14" s="12"/>
      <c r="J14" s="12"/>
      <c r="K14" s="12"/>
      <c r="L14" s="12" t="n">
        <f aca="false">SUM(L9:L13)</f>
        <v>98394</v>
      </c>
    </row>
    <row r="16" customFormat="false" ht="15" hidden="false" customHeight="false" outlineLevel="0" collapsed="false">
      <c r="A16" s="6" t="s">
        <v>34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7" t="n">
        <v>6</v>
      </c>
      <c r="B17" s="8" t="s">
        <v>35</v>
      </c>
      <c r="C17" s="8" t="s">
        <v>36</v>
      </c>
      <c r="D17" s="7" t="s">
        <v>37</v>
      </c>
      <c r="E17" s="7" t="n">
        <v>1</v>
      </c>
      <c r="F17" s="9" t="n">
        <v>24500</v>
      </c>
      <c r="G17" s="8" t="n">
        <f aca="false">E17*F17</f>
        <v>24500</v>
      </c>
      <c r="H17" s="10" t="n">
        <v>0</v>
      </c>
      <c r="I17" s="10" t="n">
        <v>0</v>
      </c>
      <c r="J17" s="10" t="n">
        <v>0.0925</v>
      </c>
      <c r="K17" s="10" t="n">
        <v>0.05</v>
      </c>
      <c r="L17" s="8" t="n">
        <f aca="false">G17*(1+H17+I17+J17+K17)</f>
        <v>27991.25</v>
      </c>
    </row>
    <row r="18" customFormat="false" ht="15" hidden="false" customHeight="false" outlineLevel="0" collapsed="false">
      <c r="A18" s="7" t="n">
        <v>7</v>
      </c>
      <c r="B18" s="8" t="s">
        <v>38</v>
      </c>
      <c r="C18" s="8" t="s">
        <v>39</v>
      </c>
      <c r="D18" s="7" t="s">
        <v>37</v>
      </c>
      <c r="E18" s="7" t="n">
        <v>3</v>
      </c>
      <c r="F18" s="9" t="n">
        <v>1850</v>
      </c>
      <c r="G18" s="8" t="n">
        <f aca="false">E18*F18</f>
        <v>5550</v>
      </c>
      <c r="H18" s="10" t="n">
        <v>0</v>
      </c>
      <c r="I18" s="10" t="n">
        <v>0</v>
      </c>
      <c r="J18" s="10" t="n">
        <v>0.0925</v>
      </c>
      <c r="K18" s="10" t="n">
        <v>0.05</v>
      </c>
      <c r="L18" s="8" t="n">
        <f aca="false">G18*(1+H18+I18+J18+K18)</f>
        <v>6340.875</v>
      </c>
    </row>
    <row r="19" customFormat="false" ht="15" hidden="false" customHeight="false" outlineLevel="0" collapsed="false">
      <c r="A19" s="7" t="n">
        <v>8</v>
      </c>
      <c r="B19" s="8" t="s">
        <v>40</v>
      </c>
      <c r="C19" s="8" t="s">
        <v>41</v>
      </c>
      <c r="D19" s="7" t="s">
        <v>37</v>
      </c>
      <c r="E19" s="7" t="n">
        <v>2</v>
      </c>
      <c r="F19" s="9" t="n">
        <v>3200</v>
      </c>
      <c r="G19" s="8" t="n">
        <f aca="false">E19*F19</f>
        <v>6400</v>
      </c>
      <c r="H19" s="10" t="n">
        <v>0</v>
      </c>
      <c r="I19" s="10" t="n">
        <v>0</v>
      </c>
      <c r="J19" s="10" t="n">
        <v>0.0925</v>
      </c>
      <c r="K19" s="10" t="n">
        <v>0.05</v>
      </c>
      <c r="L19" s="8" t="n">
        <f aca="false">G19*(1+H19+I19+J19+K19)</f>
        <v>7312</v>
      </c>
    </row>
    <row r="20" customFormat="false" ht="15" hidden="false" customHeight="false" outlineLevel="0" collapsed="false">
      <c r="A20" s="11"/>
      <c r="B20" s="12"/>
      <c r="C20" s="12" t="s">
        <v>42</v>
      </c>
      <c r="D20" s="11"/>
      <c r="E20" s="11"/>
      <c r="F20" s="12"/>
      <c r="G20" s="12" t="n">
        <f aca="false">SUM(G17:G19)</f>
        <v>36450</v>
      </c>
      <c r="H20" s="12"/>
      <c r="I20" s="12"/>
      <c r="J20" s="12"/>
      <c r="K20" s="12"/>
      <c r="L20" s="12" t="n">
        <f aca="false">SUM(L17:L19)</f>
        <v>41644.125</v>
      </c>
    </row>
    <row r="22" customFormat="false" ht="15" hidden="false" customHeight="false" outlineLevel="0" collapsed="false">
      <c r="A22" s="13"/>
      <c r="B22" s="14"/>
      <c r="C22" s="14" t="s">
        <v>43</v>
      </c>
      <c r="D22" s="13"/>
      <c r="E22" s="13"/>
      <c r="F22" s="14"/>
      <c r="G22" s="14" t="n">
        <f aca="false">G14+G20</f>
        <v>110850</v>
      </c>
      <c r="H22" s="14"/>
      <c r="I22" s="14"/>
      <c r="J22" s="14"/>
      <c r="K22" s="14"/>
      <c r="L22" s="14" t="n">
        <f aca="false">L14+L20</f>
        <v>140038.125</v>
      </c>
    </row>
    <row r="24" customFormat="false" ht="15" hidden="false" customHeight="false" outlineLevel="0" collapsed="false">
      <c r="A24" s="15" t="s">
        <v>44</v>
      </c>
    </row>
  </sheetData>
  <mergeCells count="4">
    <mergeCell ref="A1:L1"/>
    <mergeCell ref="A2:L2"/>
    <mergeCell ref="A8:L8"/>
    <mergeCell ref="A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2026-09-18T13:57:41Z</dcterms:created>
  <dc:creator>openpyxl</dc:creator>
  <dc:description/>
  <dc:language>en-US</dc:language>
  <cp:lastModifiedBy/>
  <dcterms:modified xsi:type="dcterms:W3CDTF">2026-09-18T13:57:41Z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