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MM_MATERIALS" sheetId="1" state="visible" r:id="rId3"/>
    <sheet name="ZMM_SERVI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<sst xmlns="http://schemas.openxmlformats.org/spreadsheetml/2006/main" count="88" uniqueCount="40">
  <si>
    <t xml:space="preserve">SUPPLIER_CODE</t>
  </si>
  <si>
    <t xml:space="preserve">SUPPLIER_NAME</t>
  </si>
  <si>
    <t xml:space="preserve">PROJECT_ID</t>
  </si>
  <si>
    <t xml:space="preserve">MATERIAL_NO</t>
  </si>
  <si>
    <t xml:space="preserve">MATERIAL_TEXT</t>
  </si>
  <si>
    <t xml:space="preserve">ORDER_QTY</t>
  </si>
  <si>
    <t xml:space="preserve">UNIT</t>
  </si>
  <si>
    <t xml:space="preserve">NET_PRICE</t>
  </si>
  <si>
    <t xml:space="preserve">NET_VALUE</t>
  </si>
  <si>
    <t xml:space="preserve">IPI_AMOUNT</t>
  </si>
  <si>
    <t xml:space="preserve">ICMS_AMOUNT</t>
  </si>
  <si>
    <t xml:space="preserve">PISCOFINS_AMOUNT</t>
  </si>
  <si>
    <t xml:space="preserve">ISS_AMOUNT</t>
  </si>
  <si>
    <t xml:space="preserve">GROSS_VALUE</t>
  </si>
  <si>
    <t xml:space="preserve">0000047731</t>
  </si>
  <si>
    <t xml:space="preserve">Supplier 4</t>
  </si>
  <si>
    <t xml:space="preserve">D90B</t>
  </si>
  <si>
    <t xml:space="preserve">100004471</t>
  </si>
  <si>
    <t xml:space="preserve">Hydraulic cylinder rod 40mm</t>
  </si>
  <si>
    <t xml:space="preserve">PC</t>
  </si>
  <si>
    <t xml:space="preserve">100004472</t>
  </si>
  <si>
    <t xml:space="preserve">Flange coupling DN80</t>
  </si>
  <si>
    <t xml:space="preserve">100004473</t>
  </si>
  <si>
    <t xml:space="preserve">Bearing housing, cast iron</t>
  </si>
  <si>
    <t xml:space="preserve">100004474</t>
  </si>
  <si>
    <t xml:space="preserve">Gasket set, high temperature</t>
  </si>
  <si>
    <t xml:space="preserve">100004475</t>
  </si>
  <si>
    <t xml:space="preserve">Stainless steel pipe, 3m section</t>
  </si>
  <si>
    <t xml:space="preserve">100004476</t>
  </si>
  <si>
    <t xml:space="preserve">Pressure gauge, 0-16 bar</t>
  </si>
  <si>
    <t xml:space="preserve">200008810</t>
  </si>
  <si>
    <t xml:space="preserve">Hydraulic system startup</t>
  </si>
  <si>
    <t xml:space="preserve">AU</t>
  </si>
  <si>
    <t xml:space="preserve">200008811</t>
  </si>
  <si>
    <t xml:space="preserve">Weld inspection, radiographic</t>
  </si>
  <si>
    <t xml:space="preserve">H</t>
  </si>
  <si>
    <t xml:space="preserve">200008812</t>
  </si>
  <si>
    <t xml:space="preserve">Pipeline pressure testing</t>
  </si>
  <si>
    <t xml:space="preserve">200008813</t>
  </si>
  <si>
    <t xml:space="preserve">Technical documentation package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</si>
</sst>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n">
        <v>30</v>
      </c>
      <c r="G2" s="3" t="s">
        <v>19</v>
      </c>
      <c r="H2" s="4" t="n">
        <v>845</v>
      </c>
      <c r="I2" s="4" t="n">
        <f aca="false">F2*H2</f>
        <v>25350</v>
      </c>
      <c r="J2" s="4" t="n">
        <f aca="false">I2*0.05</f>
        <v>1267.5</v>
      </c>
      <c r="K2" s="4" t="n">
        <f aca="false">I2*0.18</f>
        <v>4563</v>
      </c>
      <c r="L2" s="4" t="n">
        <f aca="false">I2*0.0925</f>
        <v>2344.875</v>
      </c>
      <c r="M2" s="4" t="n">
        <f aca="false">I2*0</f>
        <v>0</v>
      </c>
      <c r="N2" s="4" t="n">
        <f aca="false">I2+J2+K2+L2+M2</f>
        <v>33525.375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20</v>
      </c>
      <c r="E3" s="2" t="s">
        <v>21</v>
      </c>
      <c r="F3" s="3" t="n">
        <v>18</v>
      </c>
      <c r="G3" s="3" t="s">
        <v>19</v>
      </c>
      <c r="H3" s="4" t="n">
        <v>1230</v>
      </c>
      <c r="I3" s="4" t="n">
        <f aca="false">F3*H3</f>
        <v>22140</v>
      </c>
      <c r="J3" s="4" t="n">
        <f aca="false">I3*0.05</f>
        <v>1107</v>
      </c>
      <c r="K3" s="4" t="n">
        <f aca="false">I3*0.18</f>
        <v>3985.2</v>
      </c>
      <c r="L3" s="4" t="n">
        <f aca="false">I3*0.0925</f>
        <v>2047.95</v>
      </c>
      <c r="M3" s="4" t="n">
        <f aca="false">I3*0</f>
        <v>0</v>
      </c>
      <c r="N3" s="4" t="n">
        <f aca="false">I3+J3+K3+L3+M3</f>
        <v>29280.15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22</v>
      </c>
      <c r="E4" s="2" t="s">
        <v>23</v>
      </c>
      <c r="F4" s="3" t="n">
        <v>24</v>
      </c>
      <c r="G4" s="3" t="s">
        <v>19</v>
      </c>
      <c r="H4" s="4" t="n">
        <v>690.4</v>
      </c>
      <c r="I4" s="4" t="n">
        <f aca="false">F4*H4</f>
        <v>16569.6</v>
      </c>
      <c r="J4" s="4" t="n">
        <f aca="false">I4*0.05</f>
        <v>828.48</v>
      </c>
      <c r="K4" s="4" t="n">
        <f aca="false">I4*0.12</f>
        <v>1988.352</v>
      </c>
      <c r="L4" s="4" t="n">
        <f aca="false">I4*0.0925</f>
        <v>1532.688</v>
      </c>
      <c r="M4" s="4" t="n">
        <f aca="false">I4*0</f>
        <v>0</v>
      </c>
      <c r="N4" s="4" t="n">
        <f aca="false">I4+J4+K4+L4+M4</f>
        <v>20919.12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24</v>
      </c>
      <c r="E5" s="2" t="s">
        <v>25</v>
      </c>
      <c r="F5" s="3" t="n">
        <v>200</v>
      </c>
      <c r="G5" s="3" t="s">
        <v>19</v>
      </c>
      <c r="H5" s="4" t="n">
        <v>34.2</v>
      </c>
      <c r="I5" s="4" t="n">
        <f aca="false">F5*H5</f>
        <v>6840</v>
      </c>
      <c r="J5" s="4" t="n">
        <f aca="false">I5*0.1</f>
        <v>684</v>
      </c>
      <c r="K5" s="4" t="n">
        <f aca="false">I5*0.18</f>
        <v>1231.2</v>
      </c>
      <c r="L5" s="4" t="n">
        <f aca="false">I5*0.0925</f>
        <v>632.7</v>
      </c>
      <c r="M5" s="4" t="n">
        <f aca="false">I5*0</f>
        <v>0</v>
      </c>
      <c r="N5" s="4" t="n">
        <f aca="false">I5+J5+K5+L5+M5</f>
        <v>9387.9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s">
        <v>16</v>
      </c>
      <c r="D6" s="2" t="s">
        <v>26</v>
      </c>
      <c r="E6" s="2" t="s">
        <v>27</v>
      </c>
      <c r="F6" s="3" t="n">
        <v>42</v>
      </c>
      <c r="G6" s="3" t="s">
        <v>19</v>
      </c>
      <c r="H6" s="4" t="n">
        <v>415.75</v>
      </c>
      <c r="I6" s="4" t="n">
        <f aca="false">F6*H6</f>
        <v>17461.5</v>
      </c>
      <c r="J6" s="4" t="n">
        <f aca="false">I6*0.05</f>
        <v>873.075</v>
      </c>
      <c r="K6" s="4" t="n">
        <f aca="false">I6*0.18</f>
        <v>3143.07</v>
      </c>
      <c r="L6" s="4" t="n">
        <f aca="false">I6*0.0925</f>
        <v>1615.18875</v>
      </c>
      <c r="M6" s="4" t="n">
        <f aca="false">I6*0</f>
        <v>0</v>
      </c>
      <c r="N6" s="4" t="n">
        <f aca="false">I6+J6+K6+L6+M6</f>
        <v>23092.83375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16</v>
      </c>
      <c r="D7" s="2" t="s">
        <v>28</v>
      </c>
      <c r="E7" s="2" t="s">
        <v>29</v>
      </c>
      <c r="F7" s="3" t="n">
        <v>36</v>
      </c>
      <c r="G7" s="3" t="s">
        <v>19</v>
      </c>
      <c r="H7" s="4" t="n">
        <v>258</v>
      </c>
      <c r="I7" s="4" t="n">
        <f aca="false">F7*H7</f>
        <v>9288</v>
      </c>
      <c r="J7" s="4" t="n">
        <f aca="false">I7*0.05</f>
        <v>464.4</v>
      </c>
      <c r="K7" s="4" t="n">
        <f aca="false">I7*0.12</f>
        <v>1114.56</v>
      </c>
      <c r="L7" s="4" t="n">
        <f aca="false">I7*0.0925</f>
        <v>859.14</v>
      </c>
      <c r="M7" s="4" t="n">
        <f aca="false">I7*0</f>
        <v>0</v>
      </c>
      <c r="N7" s="4" t="n">
        <f aca="false">I7+J7+K7+L7+M7</f>
        <v>11726.1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30</v>
      </c>
      <c r="E2" s="2" t="s">
        <v>31</v>
      </c>
      <c r="F2" s="3" t="n">
        <v>1</v>
      </c>
      <c r="G2" s="3" t="s">
        <v>32</v>
      </c>
      <c r="H2" s="4" t="n">
        <v>16800</v>
      </c>
      <c r="I2" s="4" t="n">
        <f aca="false">F2*H2</f>
        <v>16800</v>
      </c>
      <c r="J2" s="4" t="n">
        <f aca="false">I2*0</f>
        <v>0</v>
      </c>
      <c r="K2" s="4" t="n">
        <f aca="false">I2*0</f>
        <v>0</v>
      </c>
      <c r="L2" s="4" t="n">
        <f aca="false">I2*0.0925</f>
        <v>1554</v>
      </c>
      <c r="M2" s="4" t="n">
        <f aca="false">I2*0.05</f>
        <v>840</v>
      </c>
      <c r="N2" s="4" t="n">
        <f aca="false">I2+J2+K2+L2+M2</f>
        <v>19194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33</v>
      </c>
      <c r="E3" s="2" t="s">
        <v>34</v>
      </c>
      <c r="F3" s="3" t="n">
        <v>8</v>
      </c>
      <c r="G3" s="3" t="s">
        <v>35</v>
      </c>
      <c r="H3" s="4" t="n">
        <v>540</v>
      </c>
      <c r="I3" s="4" t="n">
        <f aca="false">F3*H3</f>
        <v>4320</v>
      </c>
      <c r="J3" s="4" t="n">
        <f aca="false">I3*0</f>
        <v>0</v>
      </c>
      <c r="K3" s="4" t="n">
        <f aca="false">I3*0</f>
        <v>0</v>
      </c>
      <c r="L3" s="4" t="n">
        <f aca="false">I3*0.0925</f>
        <v>399.6</v>
      </c>
      <c r="M3" s="4" t="n">
        <f aca="false">I3*0.05</f>
        <v>216</v>
      </c>
      <c r="N3" s="4" t="n">
        <f aca="false">I3+J3+K3+L3+M3</f>
        <v>4935.6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36</v>
      </c>
      <c r="E4" s="2" t="s">
        <v>37</v>
      </c>
      <c r="F4" s="3" t="n">
        <v>4</v>
      </c>
      <c r="G4" s="3" t="s">
        <v>32</v>
      </c>
      <c r="H4" s="4" t="n">
        <v>2750</v>
      </c>
      <c r="I4" s="4" t="n">
        <f aca="false">F4*H4</f>
        <v>11000</v>
      </c>
      <c r="J4" s="4" t="n">
        <f aca="false">I4*0</f>
        <v>0</v>
      </c>
      <c r="K4" s="4" t="n">
        <f aca="false">I4*0</f>
        <v>0</v>
      </c>
      <c r="L4" s="4" t="n">
        <f aca="false">I4*0.0925</f>
        <v>1017.5</v>
      </c>
      <c r="M4" s="4" t="n">
        <f aca="false">I4*0.05</f>
        <v>550</v>
      </c>
      <c r="N4" s="4" t="n">
        <f aca="false">I4+J4+K4+L4+M4</f>
        <v>12567.5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38</v>
      </c>
      <c r="E5" s="2" t="s">
        <v>39</v>
      </c>
      <c r="F5" s="3" t="n">
        <v>1</v>
      </c>
      <c r="G5" s="3" t="s">
        <v>32</v>
      </c>
      <c r="H5" s="4" t="n">
        <v>5400</v>
      </c>
      <c r="I5" s="4" t="n">
        <f aca="false">F5*H5</f>
        <v>5400</v>
      </c>
      <c r="J5" s="4" t="n">
        <f aca="false">I5*0</f>
        <v>0</v>
      </c>
      <c r="K5" s="4" t="n">
        <f aca="false">I5*0</f>
        <v>0</v>
      </c>
      <c r="L5" s="4" t="n">
        <f aca="false">I5*0.0925</f>
        <v>499.5</v>
      </c>
      <c r="M5" s="4" t="n">
        <f aca="false">I5*0.05</f>
        <v>270</v>
      </c>
      <c r="N5" s="4" t="n">
        <f aca="false">I5+J5+K5+L5+M5</f>
        <v>6169.5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2026-09-18T13:58:00Z</dcterms:created>
  <dc:creator>openpyxl</dc:creator>
  <dc:description/>
  <dc:language>en-US</dc:language>
  <cp:lastModifiedBy/>
  <dcterms:modified xsi:type="dcterms:W3CDTF">2026-09-18T13:58:00Z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